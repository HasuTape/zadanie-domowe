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79753762-9F87-4351-A788-2198A9EA37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G3" i="1"/>
  <c r="G4" i="1"/>
  <c r="G5" i="1"/>
  <c r="G6" i="1"/>
  <c r="G7" i="1"/>
  <c r="G8" i="1"/>
  <c r="G9" i="1"/>
  <c r="G10" i="1"/>
  <c r="G11" i="1"/>
  <c r="G12" i="1"/>
  <c r="G13" i="1"/>
  <c r="G2" i="1"/>
  <c r="F17" i="1"/>
  <c r="J2" i="1" l="1"/>
  <c r="J3" i="1"/>
  <c r="J4" i="1"/>
  <c r="J5" i="1"/>
  <c r="J6" i="1"/>
  <c r="J7" i="1"/>
  <c r="J8" i="1"/>
  <c r="J9" i="1"/>
  <c r="J10" i="1"/>
  <c r="J11" i="1"/>
  <c r="J12" i="1"/>
  <c r="J13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2" i="1"/>
  <c r="I2" i="1" s="1"/>
</calcChain>
</file>

<file path=xl/sharedStrings.xml><?xml version="1.0" encoding="utf-8"?>
<sst xmlns="http://schemas.openxmlformats.org/spreadsheetml/2006/main" count="53" uniqueCount="33">
  <si>
    <t>LP</t>
  </si>
  <si>
    <t>Nazwisko</t>
  </si>
  <si>
    <t>Imie</t>
  </si>
  <si>
    <t>Plec</t>
  </si>
  <si>
    <t>Data urodzenia</t>
  </si>
  <si>
    <t>Data zatrudnienia</t>
  </si>
  <si>
    <t>Wiek</t>
  </si>
  <si>
    <t>Lata do emerytury</t>
  </si>
  <si>
    <t>Staz</t>
  </si>
  <si>
    <t>Maciek</t>
  </si>
  <si>
    <t>Nowak</t>
  </si>
  <si>
    <t>M</t>
  </si>
  <si>
    <t>Piotr</t>
  </si>
  <si>
    <t>Nowakowski</t>
  </si>
  <si>
    <t>Grzegorz</t>
  </si>
  <si>
    <t>Braun</t>
  </si>
  <si>
    <t>Kowalski</t>
  </si>
  <si>
    <t>Tusk</t>
  </si>
  <si>
    <t>Kaczyński</t>
  </si>
  <si>
    <t>Zieliński</t>
  </si>
  <si>
    <t>Lewandowski</t>
  </si>
  <si>
    <t>Karolina</t>
  </si>
  <si>
    <t>Kuk</t>
  </si>
  <si>
    <t>F</t>
  </si>
  <si>
    <t>Waszniewska</t>
  </si>
  <si>
    <t>Wiktor</t>
  </si>
  <si>
    <t>Woźny</t>
  </si>
  <si>
    <t>Wiktoria</t>
  </si>
  <si>
    <t>Cieślak</t>
  </si>
  <si>
    <t>Wiek emerytalny</t>
  </si>
  <si>
    <t>Dzisiaj</t>
  </si>
  <si>
    <t>Płeć</t>
  </si>
  <si>
    <t>Ilość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</si>
</sst>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3" borderId="18" xfId="0" applyFill="1" applyBorder="1"/>
    <xf numFmtId="0" fontId="0" fillId="3" borderId="10" xfId="0" applyFill="1" applyBorder="1"/>
    <xf numFmtId="14" fontId="0" fillId="3" borderId="10" xfId="0" applyNumberFormat="1" applyFill="1" applyBorder="1"/>
    <xf numFmtId="0" fontId="0" fillId="3" borderId="19" xfId="0" applyFill="1" applyBorder="1"/>
    <xf numFmtId="0" fontId="0" fillId="3" borderId="4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14" fontId="0" fillId="3" borderId="7" xfId="0" applyNumberFormat="1" applyFill="1" applyBorder="1"/>
    <xf numFmtId="0" fontId="0" fillId="3" borderId="8" xfId="0" applyFill="1" applyBorder="1"/>
    <xf numFmtId="0" fontId="0" fillId="2" borderId="9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1" xfId="0" applyFill="1" applyBorder="1"/>
    <xf numFmtId="0" fontId="0" fillId="3" borderId="11" xfId="0" applyFill="1" applyBorder="1"/>
    <xf numFmtId="0" fontId="0" fillId="3" borderId="12" xfId="0" applyFill="1" applyBorder="1"/>
    <xf numFmtId="14" fontId="0" fillId="3" borderId="12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2"/>
  <sheetViews>
    <sheetView tabSelected="1" workbookViewId="0">
      <selection activeCell="F17" activeCellId="2" sqref="D21:D22 D17:D18 F17"/>
    </sheetView>
  </sheetViews>
  <sheetFormatPr defaultRowHeight="15"/>
  <cols>
    <col min="4" max="4" width="15.7109375" bestFit="1" customWidth="1"/>
    <col min="6" max="6" width="14.140625" bestFit="1" customWidth="1"/>
    <col min="7" max="7" width="16.28515625" bestFit="1" customWidth="1"/>
    <col min="8" max="8" width="21.85546875" bestFit="1" customWidth="1"/>
    <col min="9" max="9" width="16.85546875" bestFit="1" customWidth="1"/>
  </cols>
  <sheetData>
    <row r="1" spans="2:10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2:10">
      <c r="B2" s="4">
        <v>1</v>
      </c>
      <c r="C2" s="5" t="s">
        <v>9</v>
      </c>
      <c r="D2" s="5" t="s">
        <v>10</v>
      </c>
      <c r="E2" s="5" t="s">
        <v>11</v>
      </c>
      <c r="F2" s="6">
        <v>23908</v>
      </c>
      <c r="G2" s="6">
        <f>F2+7200</f>
        <v>31108</v>
      </c>
      <c r="H2" s="5">
        <f ca="1">YEAR($F$17)-YEAR(F2)</f>
        <v>61</v>
      </c>
      <c r="I2" s="5">
        <f ca="1">IF(E2="M",$D$17-H2,$D$18-H2)</f>
        <v>4</v>
      </c>
      <c r="J2" s="7">
        <f ca="1">YEAR($F$17)-YEAR(G2)</f>
        <v>41</v>
      </c>
    </row>
    <row r="3" spans="2:10">
      <c r="B3" s="8">
        <v>2</v>
      </c>
      <c r="C3" s="9" t="s">
        <v>12</v>
      </c>
      <c r="D3" s="9" t="s">
        <v>13</v>
      </c>
      <c r="E3" s="9" t="s">
        <v>11</v>
      </c>
      <c r="F3" s="10">
        <v>31031</v>
      </c>
      <c r="G3" s="10">
        <f t="shared" ref="G3:G13" si="0">F3+7200</f>
        <v>38231</v>
      </c>
      <c r="H3" s="9">
        <f t="shared" ref="H3:H13" ca="1" si="1">YEAR($F$17)-YEAR(F3)</f>
        <v>42</v>
      </c>
      <c r="I3" s="9">
        <f t="shared" ref="I3:I13" ca="1" si="2">IF(E3="M",$D$17-H3,$D$18-H3)</f>
        <v>23</v>
      </c>
      <c r="J3" s="11">
        <f t="shared" ref="J3:J13" ca="1" si="3">YEAR($F$17)-YEAR(G3)</f>
        <v>22</v>
      </c>
    </row>
    <row r="4" spans="2:10">
      <c r="B4" s="8">
        <v>3</v>
      </c>
      <c r="C4" s="9" t="s">
        <v>14</v>
      </c>
      <c r="D4" s="9" t="s">
        <v>15</v>
      </c>
      <c r="E4" s="9" t="s">
        <v>11</v>
      </c>
      <c r="F4" s="10">
        <v>30849</v>
      </c>
      <c r="G4" s="10">
        <f t="shared" si="0"/>
        <v>38049</v>
      </c>
      <c r="H4" s="9">
        <f t="shared" ca="1" si="1"/>
        <v>42</v>
      </c>
      <c r="I4" s="9">
        <f t="shared" ca="1" si="2"/>
        <v>23</v>
      </c>
      <c r="J4" s="11">
        <f t="shared" ca="1" si="3"/>
        <v>22</v>
      </c>
    </row>
    <row r="5" spans="2:10">
      <c r="B5" s="8">
        <v>4</v>
      </c>
      <c r="C5" s="9" t="s">
        <v>9</v>
      </c>
      <c r="D5" s="9" t="s">
        <v>16</v>
      </c>
      <c r="E5" s="9" t="s">
        <v>11</v>
      </c>
      <c r="F5" s="10">
        <v>30666</v>
      </c>
      <c r="G5" s="10">
        <f t="shared" si="0"/>
        <v>37866</v>
      </c>
      <c r="H5" s="9">
        <f t="shared" ca="1" si="1"/>
        <v>43</v>
      </c>
      <c r="I5" s="9">
        <f t="shared" ca="1" si="2"/>
        <v>22</v>
      </c>
      <c r="J5" s="11">
        <f t="shared" ca="1" si="3"/>
        <v>23</v>
      </c>
    </row>
    <row r="6" spans="2:10">
      <c r="B6" s="8">
        <v>5</v>
      </c>
      <c r="C6" s="9" t="s">
        <v>12</v>
      </c>
      <c r="D6" s="9" t="s">
        <v>17</v>
      </c>
      <c r="E6" s="9" t="s">
        <v>11</v>
      </c>
      <c r="F6" s="10">
        <v>30484</v>
      </c>
      <c r="G6" s="10">
        <f t="shared" si="0"/>
        <v>37684</v>
      </c>
      <c r="H6" s="9">
        <f t="shared" ca="1" si="1"/>
        <v>43</v>
      </c>
      <c r="I6" s="9">
        <f t="shared" ca="1" si="2"/>
        <v>22</v>
      </c>
      <c r="J6" s="11">
        <f t="shared" ca="1" si="3"/>
        <v>23</v>
      </c>
    </row>
    <row r="7" spans="2:10">
      <c r="B7" s="8">
        <v>6</v>
      </c>
      <c r="C7" s="9" t="s">
        <v>14</v>
      </c>
      <c r="D7" s="9" t="s">
        <v>18</v>
      </c>
      <c r="E7" s="9" t="s">
        <v>11</v>
      </c>
      <c r="F7" s="10">
        <v>30302</v>
      </c>
      <c r="G7" s="10">
        <f t="shared" si="0"/>
        <v>37502</v>
      </c>
      <c r="H7" s="9">
        <f t="shared" ca="1" si="1"/>
        <v>44</v>
      </c>
      <c r="I7" s="9">
        <f t="shared" ca="1" si="2"/>
        <v>21</v>
      </c>
      <c r="J7" s="11">
        <f t="shared" ca="1" si="3"/>
        <v>24</v>
      </c>
    </row>
    <row r="8" spans="2:10">
      <c r="B8" s="8">
        <v>6</v>
      </c>
      <c r="C8" s="9" t="s">
        <v>9</v>
      </c>
      <c r="D8" s="9" t="s">
        <v>19</v>
      </c>
      <c r="E8" s="9" t="s">
        <v>11</v>
      </c>
      <c r="F8" s="10">
        <v>30120</v>
      </c>
      <c r="G8" s="10">
        <f t="shared" si="0"/>
        <v>37320</v>
      </c>
      <c r="H8" s="9">
        <f t="shared" ca="1" si="1"/>
        <v>44</v>
      </c>
      <c r="I8" s="9">
        <f t="shared" ca="1" si="2"/>
        <v>21</v>
      </c>
      <c r="J8" s="11">
        <f t="shared" ca="1" si="3"/>
        <v>24</v>
      </c>
    </row>
    <row r="9" spans="2:10">
      <c r="B9" s="8">
        <v>7</v>
      </c>
      <c r="C9" s="9" t="s">
        <v>12</v>
      </c>
      <c r="D9" s="9" t="s">
        <v>20</v>
      </c>
      <c r="E9" s="9" t="s">
        <v>11</v>
      </c>
      <c r="F9" s="10">
        <v>29939</v>
      </c>
      <c r="G9" s="10">
        <f t="shared" si="0"/>
        <v>37139</v>
      </c>
      <c r="H9" s="9">
        <f t="shared" ca="1" si="1"/>
        <v>45</v>
      </c>
      <c r="I9" s="9">
        <f t="shared" ca="1" si="2"/>
        <v>20</v>
      </c>
      <c r="J9" s="11">
        <f t="shared" ca="1" si="3"/>
        <v>25</v>
      </c>
    </row>
    <row r="10" spans="2:10">
      <c r="B10" s="8">
        <v>8</v>
      </c>
      <c r="C10" s="9" t="s">
        <v>21</v>
      </c>
      <c r="D10" s="9" t="s">
        <v>22</v>
      </c>
      <c r="E10" s="9" t="s">
        <v>23</v>
      </c>
      <c r="F10" s="10">
        <v>29818</v>
      </c>
      <c r="G10" s="10">
        <f t="shared" si="0"/>
        <v>37018</v>
      </c>
      <c r="H10" s="9">
        <f t="shared" ca="1" si="1"/>
        <v>45</v>
      </c>
      <c r="I10" s="9">
        <f t="shared" ca="1" si="2"/>
        <v>15</v>
      </c>
      <c r="J10" s="11">
        <f t="shared" ca="1" si="3"/>
        <v>25</v>
      </c>
    </row>
    <row r="11" spans="2:10">
      <c r="B11" s="8">
        <v>9</v>
      </c>
      <c r="C11" s="9" t="s">
        <v>9</v>
      </c>
      <c r="D11" s="9" t="s">
        <v>24</v>
      </c>
      <c r="E11" s="9" t="s">
        <v>23</v>
      </c>
      <c r="F11" s="10">
        <v>29575</v>
      </c>
      <c r="G11" s="10">
        <f t="shared" si="0"/>
        <v>36775</v>
      </c>
      <c r="H11" s="9">
        <f t="shared" ca="1" si="1"/>
        <v>46</v>
      </c>
      <c r="I11" s="9">
        <f t="shared" ca="1" si="2"/>
        <v>14</v>
      </c>
      <c r="J11" s="11">
        <f t="shared" ca="1" si="3"/>
        <v>26</v>
      </c>
    </row>
    <row r="12" spans="2:10">
      <c r="B12" s="8">
        <v>10</v>
      </c>
      <c r="C12" s="9" t="s">
        <v>25</v>
      </c>
      <c r="D12" s="9" t="s">
        <v>26</v>
      </c>
      <c r="E12" s="9" t="s">
        <v>11</v>
      </c>
      <c r="F12" s="10">
        <v>29393</v>
      </c>
      <c r="G12" s="10">
        <f t="shared" si="0"/>
        <v>36593</v>
      </c>
      <c r="H12" s="9">
        <f t="shared" ca="1" si="1"/>
        <v>46</v>
      </c>
      <c r="I12" s="9">
        <f t="shared" ca="1" si="2"/>
        <v>19</v>
      </c>
      <c r="J12" s="11">
        <f t="shared" ca="1" si="3"/>
        <v>26</v>
      </c>
    </row>
    <row r="13" spans="2:10">
      <c r="B13" s="12">
        <v>11</v>
      </c>
      <c r="C13" s="13" t="s">
        <v>27</v>
      </c>
      <c r="D13" s="13" t="s">
        <v>28</v>
      </c>
      <c r="E13" s="13" t="s">
        <v>23</v>
      </c>
      <c r="F13" s="14">
        <v>29577</v>
      </c>
      <c r="G13" s="14">
        <f t="shared" si="0"/>
        <v>36777</v>
      </c>
      <c r="H13" s="13">
        <f t="shared" ca="1" si="1"/>
        <v>46</v>
      </c>
      <c r="I13" s="13">
        <f t="shared" ca="1" si="2"/>
        <v>14</v>
      </c>
      <c r="J13" s="15">
        <f t="shared" ca="1" si="3"/>
        <v>26</v>
      </c>
    </row>
    <row r="16" spans="2:10">
      <c r="D16" s="16" t="s">
        <v>29</v>
      </c>
      <c r="F16" s="23" t="s">
        <v>30</v>
      </c>
    </row>
    <row r="17" spans="3:6">
      <c r="C17" s="17" t="s">
        <v>11</v>
      </c>
      <c r="D17" s="24">
        <v>65</v>
      </c>
      <c r="F17" s="26">
        <f ca="1">TODAY()</f>
        <v>46041</v>
      </c>
    </row>
    <row r="18" spans="3:6">
      <c r="C18" s="18" t="s">
        <v>23</v>
      </c>
      <c r="D18" s="25">
        <v>60</v>
      </c>
    </row>
    <row r="20" spans="3:6">
      <c r="C20" s="19" t="s">
        <v>31</v>
      </c>
      <c r="D20" s="20" t="s">
        <v>32</v>
      </c>
    </row>
    <row r="21" spans="3:6">
      <c r="C21" s="21" t="s">
        <v>11</v>
      </c>
      <c r="D21" s="11">
        <f>COUNTIF(E1:E13,"M")</f>
        <v>9</v>
      </c>
    </row>
    <row r="22" spans="3:6">
      <c r="C22" s="22" t="s">
        <v>23</v>
      </c>
      <c r="D22" s="15">
        <f>COUNTIF(E1:E13,"F")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2026-01-19T21:46:16Z</dcterms:created>
  <dcterms:modified xsi:type="dcterms:W3CDTF">2026-01-19T22:20:02Z</dcterms:modified>
  <cp:category/>
  <cp:contentStatus/>
</cp:coreProperties>
</file>